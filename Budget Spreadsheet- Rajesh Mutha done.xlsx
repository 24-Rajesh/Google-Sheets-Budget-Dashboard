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/>
  <calcPr/>
</workbook>
</file>

<file path=xl/sharedStrings.xml><?xml version="1.0" encoding="utf-8"?>
<sst xmlns="http://schemas.openxmlformats.org/spreadsheetml/2006/main" count="121" uniqueCount="68">
  <si>
    <t>LEFT TO SPEND</t>
  </si>
  <si>
    <t>BUDGET VS ACTUAL</t>
  </si>
  <si>
    <t>BREAKDOWN</t>
  </si>
  <si>
    <t>OVERVIEW</t>
  </si>
  <si>
    <t>Start Date</t>
  </si>
  <si>
    <t>End Date</t>
  </si>
  <si>
    <t>Currency</t>
  </si>
  <si>
    <t>INR</t>
  </si>
  <si>
    <t>Start Balance</t>
  </si>
  <si>
    <t>CASH FLOW</t>
  </si>
  <si>
    <t>BILLS</t>
  </si>
  <si>
    <t>EXPENSES</t>
  </si>
  <si>
    <t>DEBT</t>
  </si>
  <si>
    <t>Budget</t>
  </si>
  <si>
    <t>Actual</t>
  </si>
  <si>
    <t>Category</t>
  </si>
  <si>
    <t>Due Date</t>
  </si>
  <si>
    <t>Left</t>
  </si>
  <si>
    <t xml:space="preserve"> Start Balance</t>
  </si>
  <si>
    <t>Rent</t>
  </si>
  <si>
    <t>Food</t>
  </si>
  <si>
    <t>Credit Card</t>
  </si>
  <si>
    <t xml:space="preserve"> Income</t>
  </si>
  <si>
    <t>Electricity</t>
  </si>
  <si>
    <t>Transport</t>
  </si>
  <si>
    <t>Personal Loan</t>
  </si>
  <si>
    <t>Bills</t>
  </si>
  <si>
    <t>Internet</t>
  </si>
  <si>
    <t>Shopping</t>
  </si>
  <si>
    <t>EMI</t>
  </si>
  <si>
    <t>Expenses</t>
  </si>
  <si>
    <t>Phone</t>
  </si>
  <si>
    <t>Entertainment</t>
  </si>
  <si>
    <t>Borrowed</t>
  </si>
  <si>
    <t>Debt + Savings</t>
  </si>
  <si>
    <t>Water</t>
  </si>
  <si>
    <t>Fuel</t>
  </si>
  <si>
    <t>Gold Loan</t>
  </si>
  <si>
    <t>Insurance</t>
  </si>
  <si>
    <t>Health</t>
  </si>
  <si>
    <t xml:space="preserve"> INCOME</t>
  </si>
  <si>
    <t>Salary</t>
  </si>
  <si>
    <t xml:space="preserve">Interns </t>
  </si>
  <si>
    <t>Total</t>
  </si>
  <si>
    <t>SAVINGS</t>
  </si>
  <si>
    <t>Investment</t>
  </si>
  <si>
    <t>Travel</t>
  </si>
  <si>
    <t>EXPENSE TRACKER</t>
  </si>
  <si>
    <t>SPENDING CHART</t>
  </si>
  <si>
    <t>Date</t>
  </si>
  <si>
    <t>Amount</t>
  </si>
  <si>
    <t>Payment Mode</t>
  </si>
  <si>
    <t>Notes</t>
  </si>
  <si>
    <t>UPI</t>
  </si>
  <si>
    <t>Groceries</t>
  </si>
  <si>
    <t>Net Banking</t>
  </si>
  <si>
    <t>Cash</t>
  </si>
  <si>
    <t xml:space="preserve">Shopping </t>
  </si>
  <si>
    <t>Card</t>
  </si>
  <si>
    <t>Clothes</t>
  </si>
  <si>
    <t>Biils</t>
  </si>
  <si>
    <t>Phone Bill</t>
  </si>
  <si>
    <t>SPENDING BREAKDOWN</t>
  </si>
  <si>
    <t>%</t>
  </si>
  <si>
    <t>Income</t>
  </si>
  <si>
    <t>Used</t>
  </si>
  <si>
    <t>Debt</t>
  </si>
  <si>
    <t>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</si>
</sst>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d-mmm-yyyy"/>
    <numFmt numFmtId="166" formatCode="[$₹]#,##0.00"/>
  </numFmts>
  <fonts count="10">
    <font>
      <sz val="10.0"/>
      <color rgb="FF000000"/>
      <name val="Arial"/>
      <scheme val="minor"/>
    </font>
    <font>
      <b/>
      <sz val="16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6EE"/>
        <bgColor rgb="FFFFF6EE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E8A9E9"/>
        <bgColor rgb="FFE8A9E9"/>
      </patternFill>
    </fill>
    <fill>
      <patternFill patternType="solid">
        <fgColor rgb="FF79AFE9"/>
        <bgColor rgb="FF79AFE9"/>
      </patternFill>
    </fill>
    <fill>
      <patternFill patternType="solid">
        <fgColor rgb="FFEEF4FF"/>
        <bgColor rgb="FFEEF4FF"/>
      </patternFill>
    </fill>
    <fill>
      <patternFill patternType="solid">
        <fgColor rgb="FFFFF1EB"/>
        <bgColor rgb="FFFFF1EB"/>
      </patternFill>
    </fill>
    <fill>
      <patternFill patternType="solid">
        <fgColor rgb="FFFDF0FF"/>
        <bgColor rgb="FFFDF0FF"/>
      </patternFill>
    </fill>
    <fill>
      <patternFill patternType="solid">
        <fgColor rgb="FFDCE9FF"/>
        <bgColor rgb="FFDCE9FF"/>
      </patternFill>
    </fill>
    <fill>
      <patternFill patternType="solid">
        <fgColor rgb="FFB4A7D6"/>
        <bgColor rgb="FFB4A7D6"/>
      </patternFill>
    </fill>
    <fill>
      <patternFill patternType="solid">
        <fgColor rgb="FFF3EEFF"/>
        <bgColor rgb="FFF3EEFF"/>
      </patternFill>
    </fill>
    <fill>
      <patternFill patternType="solid">
        <fgColor rgb="FFD8CCF6"/>
        <bgColor rgb="FFD8CCF6"/>
      </patternFill>
    </fill>
    <fill>
      <patternFill patternType="solid">
        <fgColor rgb="FFFDE3D7"/>
        <bgColor rgb="FFFDE3D7"/>
      </patternFill>
    </fill>
    <fill>
      <patternFill patternType="solid">
        <fgColor rgb="FFF3DDF8"/>
        <bgColor rgb="FFF3DDF8"/>
      </patternFill>
    </fill>
    <fill>
      <patternFill patternType="solid">
        <fgColor rgb="FFCCDBF4"/>
        <bgColor rgb="FFCCDBF4"/>
      </patternFill>
    </fill>
    <fill>
      <patternFill patternType="solid">
        <fgColor rgb="FFB6D7A8"/>
        <bgColor rgb="FFB6D7A8"/>
      </patternFill>
    </fill>
    <fill>
      <patternFill patternType="solid">
        <fgColor rgb="FFEEFBEF"/>
        <bgColor rgb="FFEEFBEF"/>
      </patternFill>
    </fill>
    <fill>
      <patternFill patternType="solid">
        <fgColor rgb="FFDDF3DE"/>
        <bgColor rgb="FFDDF3DE"/>
      </patternFill>
    </fill>
    <fill>
      <patternFill patternType="solid">
        <fgColor rgb="FFD9D2E9"/>
        <bgColor rgb="FFD9D2E9"/>
      </patternFill>
    </fill>
    <fill>
      <patternFill patternType="solid">
        <fgColor rgb="FFF7F3FF"/>
        <bgColor rgb="FFF7F3FF"/>
      </patternFill>
    </fill>
    <fill>
      <patternFill patternType="solid">
        <fgColor rgb="FFC8DBFD"/>
        <bgColor rgb="FFC8DBFD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0" fontId="3" numFmtId="0" xfId="0" applyAlignment="1" applyBorder="1" applyFont="1">
      <alignment horizontal="center" readingOrder="0" vertical="top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9" fillId="3" fontId="2" numFmtId="0" xfId="0" applyAlignment="1" applyBorder="1" applyFill="1" applyFont="1">
      <alignment horizontal="center" readingOrder="0" vertical="center"/>
    </xf>
    <xf borderId="10" fillId="3" fontId="6" numFmtId="164" xfId="0" applyAlignment="1" applyBorder="1" applyFont="1" applyNumberFormat="1">
      <alignment horizontal="right" readingOrder="0" vertical="center"/>
    </xf>
    <xf borderId="11" fillId="3" fontId="6" numFmtId="164" xfId="0" applyAlignment="1" applyBorder="1" applyFont="1" applyNumberForma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6" fillId="3" fontId="2" numFmtId="165" xfId="0" applyAlignment="1" applyBorder="1" applyFont="1" applyNumberFormat="1">
      <alignment horizontal="center" readingOrder="0" vertical="center"/>
    </xf>
    <xf borderId="8" fillId="3" fontId="2" numFmtId="165" xfId="0" applyAlignment="1" applyBorder="1" applyFont="1" applyNumberFormat="1">
      <alignment horizontal="center" readingOrder="0"/>
    </xf>
    <xf borderId="6" fillId="3" fontId="2" numFmtId="0" xfId="0" applyAlignment="1" applyBorder="1" applyFont="1">
      <alignment horizontal="center" readingOrder="0" vertical="center"/>
    </xf>
    <xf borderId="6" fillId="3" fontId="2" numFmtId="166" xfId="0" applyAlignment="1" applyBorder="1" applyFont="1" applyNumberFormat="1">
      <alignment horizontal="center" readingOrder="0" vertical="center"/>
    </xf>
    <xf borderId="12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7" numFmtId="0" xfId="0" applyFont="1"/>
    <xf borderId="6" fillId="4" fontId="5" numFmtId="0" xfId="0" applyAlignment="1" applyBorder="1" applyFill="1" applyFont="1">
      <alignment horizontal="center" readingOrder="0" vertical="center"/>
    </xf>
    <xf borderId="6" fillId="5" fontId="5" numFmtId="0" xfId="0" applyAlignment="1" applyBorder="1" applyFill="1" applyFont="1">
      <alignment horizontal="center" readingOrder="0" vertical="center"/>
    </xf>
    <xf borderId="6" fillId="6" fontId="5" numFmtId="0" xfId="0" applyAlignment="1" applyBorder="1" applyFill="1" applyFont="1">
      <alignment horizontal="center" readingOrder="0" vertical="center"/>
    </xf>
    <xf borderId="6" fillId="7" fontId="5" numFmtId="0" xfId="0" applyAlignment="1" applyBorder="1" applyFill="1" applyFont="1">
      <alignment horizontal="center" readingOrder="0" vertical="center"/>
    </xf>
    <xf borderId="9" fillId="8" fontId="2" numFmtId="0" xfId="0" applyBorder="1" applyFill="1" applyFont="1"/>
    <xf borderId="0" fillId="8" fontId="8" numFmtId="0" xfId="0" applyAlignment="1" applyFont="1">
      <alignment horizontal="center" readingOrder="0" vertical="center"/>
    </xf>
    <xf borderId="9" fillId="8" fontId="9" numFmtId="0" xfId="0" applyAlignment="1" applyBorder="1" applyFont="1">
      <alignment horizontal="center" readingOrder="0" vertical="center"/>
    </xf>
    <xf borderId="13" fillId="9" fontId="8" numFmtId="0" xfId="0" applyAlignment="1" applyBorder="1" applyFill="1" applyFont="1">
      <alignment horizontal="center" readingOrder="0" vertical="center"/>
    </xf>
    <xf borderId="5" fillId="9" fontId="8" numFmtId="0" xfId="0" applyAlignment="1" applyBorder="1" applyFont="1">
      <alignment horizontal="center" readingOrder="0" vertical="center"/>
    </xf>
    <xf borderId="4" fillId="10" fontId="8" numFmtId="0" xfId="0" applyAlignment="1" applyBorder="1" applyFill="1" applyFont="1">
      <alignment horizontal="center" readingOrder="0" vertical="center"/>
    </xf>
    <xf borderId="9" fillId="10" fontId="9" numFmtId="0" xfId="0" applyAlignment="1" applyBorder="1" applyFont="1">
      <alignment horizontal="center" readingOrder="0" vertical="center"/>
    </xf>
    <xf borderId="5" fillId="10" fontId="8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horizontal="center" readingOrder="0" vertical="center"/>
    </xf>
    <xf borderId="9" fillId="8" fontId="2" numFmtId="166" xfId="0" applyBorder="1" applyFont="1" applyNumberFormat="1"/>
    <xf borderId="6" fillId="9" fontId="6" numFmtId="0" xfId="0" applyAlignment="1" applyBorder="1" applyFont="1">
      <alignment horizontal="center" readingOrder="0" vertical="center"/>
    </xf>
    <xf borderId="9" fillId="9" fontId="2" numFmtId="0" xfId="0" applyAlignment="1" applyBorder="1" applyFont="1">
      <alignment readingOrder="0"/>
    </xf>
    <xf borderId="9" fillId="9" fontId="2" numFmtId="166" xfId="0" applyAlignment="1" applyBorder="1" applyFont="1" applyNumberFormat="1">
      <alignment readingOrder="0"/>
    </xf>
    <xf borderId="1" fillId="10" fontId="6" numFmtId="0" xfId="0" applyAlignment="1" applyBorder="1" applyFont="1">
      <alignment horizontal="center" readingOrder="0" vertical="center"/>
    </xf>
    <xf borderId="9" fillId="10" fontId="2" numFmtId="166" xfId="0" applyAlignment="1" applyBorder="1" applyFont="1" applyNumberFormat="1">
      <alignment readingOrder="0"/>
    </xf>
    <xf borderId="9" fillId="10" fontId="2" numFmtId="166" xfId="0" applyBorder="1" applyFont="1" applyNumberFormat="1"/>
    <xf borderId="9" fillId="8" fontId="2" numFmtId="0" xfId="0" applyAlignment="1" applyBorder="1" applyFont="1">
      <alignment readingOrder="0"/>
    </xf>
    <xf borderId="9" fillId="8" fontId="2" numFmtId="166" xfId="0" applyAlignment="1" applyBorder="1" applyFont="1" applyNumberFormat="1">
      <alignment readingOrder="0"/>
    </xf>
    <xf borderId="0" fillId="8" fontId="6" numFmtId="0" xfId="0" applyAlignment="1" applyFont="1">
      <alignment horizontal="center" readingOrder="0" vertical="center"/>
    </xf>
    <xf borderId="9" fillId="8" fontId="2" numFmtId="166" xfId="0" applyBorder="1" applyFont="1" applyNumberFormat="1"/>
    <xf borderId="9" fillId="10" fontId="2" numFmtId="0" xfId="0" applyAlignment="1" applyBorder="1" applyFont="1">
      <alignment horizontal="center" readingOrder="0" vertical="center"/>
    </xf>
    <xf borderId="2" fillId="8" fontId="6" numFmtId="0" xfId="0" applyAlignment="1" applyBorder="1" applyFont="1">
      <alignment horizontal="center" readingOrder="0" vertical="center"/>
    </xf>
    <xf borderId="5" fillId="9" fontId="6" numFmtId="166" xfId="0" applyAlignment="1" applyBorder="1" applyFont="1" applyNumberFormat="1">
      <alignment readingOrder="0"/>
    </xf>
    <xf borderId="0" fillId="10" fontId="6" numFmtId="166" xfId="0" applyAlignment="1" applyFont="1" applyNumberFormat="1">
      <alignment readingOrder="0"/>
    </xf>
    <xf borderId="4" fillId="10" fontId="6" numFmtId="166" xfId="0" applyAlignment="1" applyBorder="1" applyFont="1" applyNumberFormat="1">
      <alignment readingOrder="0"/>
    </xf>
    <xf borderId="9" fillId="11" fontId="9" numFmtId="0" xfId="0" applyAlignment="1" applyBorder="1" applyFill="1" applyFont="1">
      <alignment horizontal="center" readingOrder="0" vertical="center"/>
    </xf>
    <xf borderId="9" fillId="11" fontId="9" numFmtId="166" xfId="0" applyBorder="1" applyFont="1" applyNumberFormat="1"/>
    <xf borderId="1" fillId="9" fontId="6" numFmtId="0" xfId="0" applyAlignment="1" applyBorder="1" applyFont="1">
      <alignment horizontal="center" readingOrder="0" vertical="center"/>
    </xf>
    <xf borderId="9" fillId="9" fontId="2" numFmtId="0" xfId="0" applyAlignment="1" applyBorder="1" applyFont="1">
      <alignment horizontal="center" vertical="center"/>
    </xf>
    <xf borderId="9" fillId="9" fontId="2" numFmtId="0" xfId="0" applyBorder="1" applyFont="1"/>
    <xf borderId="9" fillId="9" fontId="2" numFmtId="166" xfId="0" applyBorder="1" applyFont="1" applyNumberFormat="1"/>
    <xf borderId="9" fillId="10" fontId="2" numFmtId="0" xfId="0" applyAlignment="1" applyBorder="1" applyFont="1">
      <alignment readingOrder="0"/>
    </xf>
    <xf borderId="9" fillId="10" fontId="2" numFmtId="0" xfId="0" applyBorder="1" applyFont="1"/>
    <xf borderId="6" fillId="12" fontId="5" numFmtId="0" xfId="0" applyAlignment="1" applyBorder="1" applyFill="1" applyFont="1">
      <alignment horizontal="center" readingOrder="0" vertical="center"/>
    </xf>
    <xf borderId="9" fillId="13" fontId="9" numFmtId="0" xfId="0" applyAlignment="1" applyBorder="1" applyFill="1" applyFont="1">
      <alignment horizontal="center" readingOrder="0" vertical="center"/>
    </xf>
    <xf borderId="9" fillId="13" fontId="2" numFmtId="0" xfId="0" applyAlignment="1" applyBorder="1" applyFont="1">
      <alignment horizontal="center" readingOrder="0" vertical="center"/>
    </xf>
    <xf borderId="9" fillId="13" fontId="2" numFmtId="0" xfId="0" applyAlignment="1" applyBorder="1" applyFont="1">
      <alignment readingOrder="0"/>
    </xf>
    <xf borderId="0" fillId="13" fontId="6" numFmtId="0" xfId="0" applyAlignment="1" applyFont="1">
      <alignment readingOrder="0"/>
    </xf>
    <xf borderId="13" fillId="13" fontId="6" numFmtId="0" xfId="0" applyAlignment="1" applyBorder="1" applyFont="1">
      <alignment readingOrder="0"/>
    </xf>
    <xf borderId="9" fillId="14" fontId="9" numFmtId="0" xfId="0" applyAlignment="1" applyBorder="1" applyFill="1" applyFont="1">
      <alignment horizontal="center" readingOrder="0" vertical="center"/>
    </xf>
    <xf borderId="9" fillId="14" fontId="9" numFmtId="0" xfId="0" applyBorder="1" applyFont="1"/>
    <xf borderId="9" fillId="15" fontId="9" numFmtId="0" xfId="0" applyAlignment="1" applyBorder="1" applyFill="1" applyFont="1">
      <alignment horizontal="center" readingOrder="0" vertical="center"/>
    </xf>
    <xf borderId="9" fillId="15" fontId="9" numFmtId="0" xfId="0" applyBorder="1" applyFont="1"/>
    <xf borderId="9" fillId="15" fontId="9" numFmtId="166" xfId="0" applyBorder="1" applyFont="1" applyNumberFormat="1"/>
    <xf borderId="9" fillId="16" fontId="9" numFmtId="0" xfId="0" applyAlignment="1" applyBorder="1" applyFill="1" applyFont="1">
      <alignment horizontal="center" readingOrder="0" vertical="center"/>
    </xf>
    <xf borderId="9" fillId="16" fontId="9" numFmtId="166" xfId="0" applyAlignment="1" applyBorder="1" applyFont="1" applyNumberFormat="1">
      <alignment horizontal="center" vertical="center"/>
    </xf>
    <xf borderId="9" fillId="17" fontId="9" numFmtId="0" xfId="0" applyAlignment="1" applyBorder="1" applyFill="1" applyFont="1">
      <alignment horizontal="center" readingOrder="0" vertical="center"/>
    </xf>
    <xf borderId="9" fillId="17" fontId="9" numFmtId="0" xfId="0" applyAlignment="1" applyBorder="1" applyFont="1">
      <alignment horizontal="center" vertical="center"/>
    </xf>
    <xf borderId="9" fillId="17" fontId="9" numFmtId="166" xfId="0" applyAlignment="1" applyBorder="1" applyFont="1" applyNumberFormat="1">
      <alignment horizontal="center" vertical="center"/>
    </xf>
    <xf borderId="6" fillId="18" fontId="5" numFmtId="0" xfId="0" applyAlignment="1" applyBorder="1" applyFill="1" applyFont="1">
      <alignment horizontal="center" readingOrder="0" vertical="center"/>
    </xf>
    <xf borderId="9" fillId="19" fontId="9" numFmtId="0" xfId="0" applyAlignment="1" applyBorder="1" applyFill="1" applyFont="1">
      <alignment horizontal="center" readingOrder="0" vertical="center"/>
    </xf>
    <xf borderId="5" fillId="19" fontId="8" numFmtId="0" xfId="0" applyAlignment="1" applyBorder="1" applyFont="1">
      <alignment horizontal="center" readingOrder="0" vertical="center"/>
    </xf>
    <xf borderId="9" fillId="19" fontId="2" numFmtId="0" xfId="0" applyAlignment="1" applyBorder="1" applyFont="1">
      <alignment horizontal="center" readingOrder="0"/>
    </xf>
    <xf borderId="9" fillId="19" fontId="2" numFmtId="166" xfId="0" applyAlignment="1" applyBorder="1" applyFont="1" applyNumberFormat="1">
      <alignment readingOrder="0"/>
    </xf>
    <xf borderId="5" fillId="19" fontId="6" numFmtId="166" xfId="0" applyAlignment="1" applyBorder="1" applyFont="1" applyNumberFormat="1">
      <alignment readingOrder="0"/>
    </xf>
    <xf borderId="9" fillId="20" fontId="9" numFmtId="0" xfId="0" applyAlignment="1" applyBorder="1" applyFill="1" applyFont="1">
      <alignment horizontal="center" readingOrder="0" vertical="center"/>
    </xf>
    <xf borderId="9" fillId="20" fontId="9" numFmtId="166" xfId="0" applyBorder="1" applyFont="1" applyNumberFormat="1"/>
    <xf borderId="6" fillId="21" fontId="5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top"/>
    </xf>
    <xf borderId="9" fillId="22" fontId="8" numFmtId="0" xfId="0" applyAlignment="1" applyBorder="1" applyFill="1" applyFont="1">
      <alignment horizontal="center" readingOrder="0" vertical="center"/>
    </xf>
    <xf borderId="9" fillId="22" fontId="9" numFmtId="0" xfId="0" applyAlignment="1" applyBorder="1" applyFont="1">
      <alignment horizontal="center" readingOrder="0" vertical="center"/>
    </xf>
    <xf borderId="0" fillId="22" fontId="8" numFmtId="0" xfId="0" applyAlignment="1" applyFont="1">
      <alignment horizontal="center" readingOrder="0" vertical="center"/>
    </xf>
    <xf borderId="7" fillId="22" fontId="2" numFmtId="0" xfId="0" applyAlignment="1" applyBorder="1" applyFont="1">
      <alignment horizontal="center" readingOrder="0" vertical="center"/>
    </xf>
    <xf borderId="8" fillId="22" fontId="2" numFmtId="0" xfId="0" applyAlignment="1" applyBorder="1" applyFont="1">
      <alignment horizontal="center" readingOrder="0" vertical="center"/>
    </xf>
    <xf borderId="9" fillId="22" fontId="6" numFmtId="164" xfId="0" applyAlignment="1" applyBorder="1" applyFont="1" applyNumberFormat="1">
      <alignment readingOrder="0"/>
    </xf>
    <xf borderId="9" fillId="22" fontId="2" numFmtId="166" xfId="0" applyAlignment="1" applyBorder="1" applyFont="1" applyNumberFormat="1">
      <alignment readingOrder="0"/>
    </xf>
    <xf borderId="9" fillId="22" fontId="2" numFmtId="0" xfId="0" applyAlignment="1" applyBorder="1" applyFont="1">
      <alignment readingOrder="0"/>
    </xf>
    <xf borderId="2" fillId="22" fontId="2" numFmtId="0" xfId="0" applyBorder="1" applyFont="1"/>
    <xf borderId="3" fillId="22" fontId="2" numFmtId="0" xfId="0" applyBorder="1" applyFont="1"/>
    <xf borderId="0" fillId="22" fontId="2" numFmtId="0" xfId="0" applyFont="1"/>
    <xf borderId="5" fillId="22" fontId="2" numFmtId="0" xfId="0" applyBorder="1" applyFont="1"/>
    <xf borderId="9" fillId="22" fontId="6" numFmtId="165" xfId="0" applyAlignment="1" applyBorder="1" applyFont="1" applyNumberFormat="1">
      <alignment readingOrder="0"/>
    </xf>
    <xf borderId="9" fillId="22" fontId="2" numFmtId="0" xfId="0" applyBorder="1" applyFont="1"/>
    <xf borderId="10" fillId="8" fontId="8" numFmtId="0" xfId="0" applyAlignment="1" applyBorder="1" applyFont="1">
      <alignment horizontal="center" readingOrder="0" vertical="center"/>
    </xf>
    <xf borderId="14" fillId="8" fontId="8" numFmtId="0" xfId="0" applyAlignment="1" applyBorder="1" applyFont="1">
      <alignment horizontal="center" readingOrder="0" vertical="center"/>
    </xf>
    <xf borderId="0" fillId="8" fontId="6" numFmtId="166" xfId="0" applyAlignment="1" applyFont="1" applyNumberFormat="1">
      <alignment readingOrder="0"/>
    </xf>
    <xf borderId="9" fillId="8" fontId="2" numFmtId="10" xfId="0" applyBorder="1" applyFont="1" applyNumberFormat="1"/>
    <xf borderId="3" fillId="8" fontId="6" numFmtId="166" xfId="0" applyAlignment="1" applyBorder="1" applyFont="1" applyNumberFormat="1">
      <alignment readingOrder="0"/>
    </xf>
    <xf borderId="0" fillId="8" fontId="6" numFmtId="0" xfId="0" applyFont="1"/>
    <xf borderId="2" fillId="8" fontId="6" numFmtId="166" xfId="0" applyAlignment="1" applyBorder="1" applyFont="1" applyNumberFormat="1">
      <alignment readingOrder="0"/>
    </xf>
    <xf borderId="10" fillId="22" fontId="2" numFmtId="0" xfId="0" applyBorder="1" applyFont="1"/>
    <xf borderId="11" fillId="22" fontId="2" numFmtId="0" xfId="0" applyBorder="1" applyFont="1"/>
    <xf borderId="9" fillId="23" fontId="9" numFmtId="0" xfId="0" applyAlignment="1" applyBorder="1" applyFill="1" applyFont="1">
      <alignment horizontal="center" readingOrder="0" vertical="center"/>
    </xf>
    <xf borderId="9" fillId="23" fontId="9" numFmtId="166" xfId="0" applyBorder="1" applyFont="1" applyNumberFormat="1"/>
    <xf borderId="9" fillId="23" fontId="9" numFmtId="0" xfId="0" applyBorder="1" applyFont="1"/>
    <xf borderId="9" fillId="23" fontId="9" numFmtId="10" xfId="0" applyBorder="1" applyFont="1" applyNumberForma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2" numFmtId="166" xfId="0" applyFont="1" applyNumberFormat="1"/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6" xfId="0" applyFont="1" applyNumberFormat="1"/>
    <xf borderId="9" fillId="0" fontId="9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/>
    </xf>
    <xf borderId="9" fillId="0" fontId="2" numFmtId="10" xfId="0" applyBorder="1" applyFont="1" applyNumberFormat="1"/>
    <xf borderId="3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9" fillId="0" fontId="2" numFmtId="0" xfId="0" applyBorder="1" applyFont="1"/>
    <xf borderId="9" fillId="0" fontId="9" numFmtId="0" xfId="0" applyBorder="1" applyFont="1"/>
    <xf borderId="9" fillId="0" fontId="9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F4D7B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Dashboard!$H$66:$H$67</c:f>
            </c:strRef>
          </c:cat>
          <c:val>
            <c:numRef>
              <c:f>Dashboard!$I$66:$I$67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Dashboard!$N$65</c:f>
            </c:strRef>
          </c:tx>
          <c:spPr>
            <a:solidFill>
              <a:srgbClr val="CCCCCC"/>
            </a:solidFill>
            <a:ln cmpd="sng">
              <a:solidFill>
                <a:srgbClr val="000000"/>
              </a:solidFill>
            </a:ln>
          </c:spPr>
          <c:cat>
            <c:strRef>
              <c:f>Dashboard!$M$66:$M$70</c:f>
            </c:strRef>
          </c:cat>
          <c:val>
            <c:numRef>
              <c:f>Dashboard!$N$66:$N$70</c:f>
              <c:numCache/>
            </c:numRef>
          </c:val>
        </c:ser>
        <c:ser>
          <c:idx val="1"/>
          <c:order val="1"/>
          <c:tx>
            <c:strRef>
              <c:f>Dashboard!$O$65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Dashboard!$M$66:$M$70</c:f>
            </c:strRef>
          </c:cat>
          <c:val>
            <c:numRef>
              <c:f>Dashboard!$O$66:$O$70</c:f>
              <c:numCache/>
            </c:numRef>
          </c:val>
        </c:ser>
        <c:axId val="2134137233"/>
        <c:axId val="1305954236"/>
      </c:barChart>
      <c:catAx>
        <c:axId val="21341372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954236"/>
      </c:catAx>
      <c:valAx>
        <c:axId val="13059542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137233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Dashboard!$R$65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Dashboard!$Q$66:$Q$71</c:f>
            </c:strRef>
          </c:cat>
          <c:val>
            <c:numRef>
              <c:f>Dashboard!$R$66:$R$71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1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Dashboard!$P$48:$P$49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A61C00"/>
              </a:solidFill>
            </c:spPr>
          </c:dPt>
          <c:dPt>
            <c:idx val="2"/>
            <c:spPr>
              <a:solidFill>
                <a:srgbClr val="F1C23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Dashboard!$O$50:$O$52</c:f>
            </c:strRef>
          </c:cat>
          <c:val>
            <c:numRef>
              <c:f>Dashboard!$P$50:$P$52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904875</xdr:colOff>
      <xdr:row>1</xdr:row>
      <xdr:rowOff>190500</xdr:rowOff>
    </xdr:from>
    <xdr:ext cx="3676650" cy="2933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895350</xdr:colOff>
      <xdr:row>1</xdr:row>
      <xdr:rowOff>190500</xdr:rowOff>
    </xdr:from>
    <xdr:ext cx="3676650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885825</xdr:colOff>
      <xdr:row>1</xdr:row>
      <xdr:rowOff>219075</xdr:rowOff>
    </xdr:from>
    <xdr:ext cx="3676650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904875</xdr:colOff>
      <xdr:row>40</xdr:row>
      <xdr:rowOff>219075</xdr:rowOff>
    </xdr:from>
    <xdr:ext cx="3638550" cy="1152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257175</xdr:colOff>
      <xdr:row>5</xdr:row>
      <xdr:rowOff>76200</xdr:rowOff>
    </xdr:from>
    <xdr:ext cx="1162050" cy="447675"/>
    <xdr:sp>
      <xdr:nvSpPr>
        <xdr:cNvPr id="3" name="Shape 3"/>
        <xdr:cNvSpPr txBox="1"/>
      </xdr:nvSpPr>
      <xdr:spPr>
        <a:xfrm>
          <a:off x="2961450" y="898650"/>
          <a:ext cx="1470900" cy="430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   </a:t>
          </a:r>
          <a:r>
            <a:rPr b="1" lang="en-US" sz="1600"/>
            <a:t>₹31,100</a:t>
          </a:r>
          <a:endParaRPr b="1" sz="16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638550" cy="1323975"/>
    <xdr:sp>
      <xdr:nvSpPr>
        <xdr:cNvPr id="4" name="Shape 4"/>
        <xdr:cNvSpPr txBox="1"/>
      </xdr:nvSpPr>
      <xdr:spPr>
        <a:xfrm>
          <a:off x="2811325" y="438300"/>
          <a:ext cx="4453200" cy="1751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          </a:t>
          </a:r>
          <a:r>
            <a:rPr b="1" lang="en-US" sz="1900"/>
            <a:t>     </a:t>
          </a:r>
          <a:r>
            <a:rPr b="1" lang="en-US" sz="2000"/>
            <a:t> JANUARY 2026</a:t>
          </a:r>
          <a:endParaRPr b="1" sz="2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/>
            <a:t>          - BUDGET DASHBOARD -</a:t>
          </a:r>
          <a:endParaRPr b="1" sz="20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12.0"/>
  </cols>
  <sheetData>
    <row r="1" ht="45.0" customHeight="1">
      <c r="A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0.5" customHeight="1">
      <c r="D2" s="2"/>
      <c r="E2" s="3" t="s">
        <v>0</v>
      </c>
      <c r="F2" s="4"/>
      <c r="G2" s="4"/>
      <c r="H2" s="5"/>
      <c r="I2" s="2"/>
      <c r="J2" s="3" t="s">
        <v>1</v>
      </c>
      <c r="K2" s="4"/>
      <c r="L2" s="4"/>
      <c r="M2" s="5"/>
      <c r="N2" s="2"/>
      <c r="O2" s="3" t="s">
        <v>2</v>
      </c>
      <c r="P2" s="4"/>
      <c r="Q2" s="4"/>
      <c r="R2" s="5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2"/>
      <c r="C3" s="2"/>
      <c r="D3" s="2"/>
      <c r="E3" s="6"/>
      <c r="H3" s="7"/>
      <c r="I3" s="2"/>
      <c r="J3" s="6"/>
      <c r="M3" s="7"/>
      <c r="N3" s="2"/>
      <c r="O3" s="6"/>
      <c r="R3" s="7"/>
      <c r="S3" s="2"/>
      <c r="T3" s="2"/>
      <c r="U3" s="2"/>
      <c r="V3" s="2"/>
      <c r="W3" s="2"/>
      <c r="X3" s="2"/>
      <c r="Y3" s="2"/>
      <c r="Z3" s="2"/>
    </row>
    <row r="4" ht="27.0" customHeight="1">
      <c r="A4" s="8" t="s">
        <v>3</v>
      </c>
      <c r="B4" s="9"/>
      <c r="C4" s="10"/>
      <c r="D4" s="2"/>
      <c r="E4" s="6"/>
      <c r="H4" s="7"/>
      <c r="I4" s="2"/>
      <c r="J4" s="6"/>
      <c r="M4" s="7"/>
      <c r="N4" s="2"/>
      <c r="O4" s="6"/>
      <c r="R4" s="7"/>
      <c r="S4" s="2"/>
      <c r="T4" s="2"/>
      <c r="U4" s="2"/>
      <c r="V4" s="2"/>
      <c r="W4" s="2"/>
      <c r="X4" s="2"/>
      <c r="Y4" s="2"/>
      <c r="Z4" s="2"/>
    </row>
    <row r="5" ht="18.0" customHeight="1">
      <c r="A5" s="11" t="s">
        <v>4</v>
      </c>
      <c r="B5" s="12">
        <v>46023.0</v>
      </c>
      <c r="C5" s="13"/>
      <c r="D5" s="2"/>
      <c r="E5" s="6"/>
      <c r="H5" s="7"/>
      <c r="I5" s="2"/>
      <c r="J5" s="6"/>
      <c r="M5" s="7"/>
      <c r="N5" s="2"/>
      <c r="O5" s="6"/>
      <c r="R5" s="7"/>
      <c r="S5" s="2"/>
      <c r="T5" s="2"/>
      <c r="U5" s="2"/>
      <c r="V5" s="2"/>
      <c r="W5" s="2"/>
      <c r="X5" s="2"/>
      <c r="Y5" s="2"/>
      <c r="Z5" s="2"/>
    </row>
    <row r="6" ht="18.0" customHeight="1">
      <c r="A6" s="14" t="s">
        <v>5</v>
      </c>
      <c r="B6" s="15">
        <v>46053.0</v>
      </c>
      <c r="C6" s="16"/>
      <c r="D6" s="2"/>
      <c r="E6" s="6"/>
      <c r="H6" s="7"/>
      <c r="I6" s="2"/>
      <c r="J6" s="6"/>
      <c r="M6" s="7"/>
      <c r="N6" s="2"/>
      <c r="O6" s="6"/>
      <c r="R6" s="7"/>
      <c r="S6" s="2"/>
      <c r="T6" s="2"/>
      <c r="U6" s="2"/>
      <c r="V6" s="2"/>
      <c r="W6" s="2"/>
      <c r="X6" s="2"/>
      <c r="Y6" s="2"/>
      <c r="Z6" s="2"/>
    </row>
    <row r="7" ht="18.0" customHeight="1">
      <c r="A7" s="11" t="s">
        <v>6</v>
      </c>
      <c r="B7" s="17" t="s">
        <v>7</v>
      </c>
      <c r="C7" s="10"/>
      <c r="D7" s="2"/>
      <c r="E7" s="6"/>
      <c r="H7" s="7"/>
      <c r="I7" s="2"/>
      <c r="J7" s="6"/>
      <c r="M7" s="7"/>
      <c r="N7" s="2"/>
      <c r="O7" s="6"/>
      <c r="R7" s="7"/>
      <c r="S7" s="2"/>
      <c r="T7" s="2"/>
      <c r="U7" s="2"/>
      <c r="V7" s="2"/>
      <c r="W7" s="2"/>
      <c r="X7" s="2"/>
      <c r="Y7" s="2"/>
      <c r="Z7" s="2"/>
    </row>
    <row r="8" ht="18.0" customHeight="1">
      <c r="A8" s="11" t="s">
        <v>8</v>
      </c>
      <c r="B8" s="18">
        <v>60000.0</v>
      </c>
      <c r="C8" s="10"/>
      <c r="D8" s="2"/>
      <c r="E8" s="19"/>
      <c r="F8" s="20"/>
      <c r="G8" s="20"/>
      <c r="H8" s="21"/>
      <c r="I8" s="2"/>
      <c r="J8" s="19"/>
      <c r="K8" s="20"/>
      <c r="L8" s="20"/>
      <c r="M8" s="21"/>
      <c r="N8" s="2"/>
      <c r="O8" s="19"/>
      <c r="P8" s="20"/>
      <c r="Q8" s="20"/>
      <c r="R8" s="21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2"/>
      <c r="C14" s="2"/>
      <c r="D14" s="2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3" t="s">
        <v>9</v>
      </c>
      <c r="B17" s="9"/>
      <c r="C17" s="10"/>
      <c r="D17" s="2"/>
      <c r="E17" s="24" t="s">
        <v>10</v>
      </c>
      <c r="F17" s="9"/>
      <c r="G17" s="9"/>
      <c r="H17" s="10"/>
      <c r="I17" s="2"/>
      <c r="J17" s="25" t="s">
        <v>11</v>
      </c>
      <c r="K17" s="9"/>
      <c r="L17" s="9"/>
      <c r="M17" s="10"/>
      <c r="N17" s="2"/>
      <c r="O17" s="26" t="s">
        <v>12</v>
      </c>
      <c r="P17" s="9"/>
      <c r="Q17" s="9"/>
      <c r="R17" s="10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7"/>
      <c r="B18" s="28" t="s">
        <v>13</v>
      </c>
      <c r="C18" s="29" t="s">
        <v>14</v>
      </c>
      <c r="D18" s="2"/>
      <c r="E18" s="30" t="s">
        <v>15</v>
      </c>
      <c r="F18" s="31" t="s">
        <v>16</v>
      </c>
      <c r="G18" s="31" t="s">
        <v>13</v>
      </c>
      <c r="H18" s="31" t="s">
        <v>14</v>
      </c>
      <c r="I18" s="2"/>
      <c r="J18" s="32" t="s">
        <v>15</v>
      </c>
      <c r="K18" s="32" t="s">
        <v>13</v>
      </c>
      <c r="L18" s="33" t="s">
        <v>14</v>
      </c>
      <c r="M18" s="34" t="s">
        <v>17</v>
      </c>
      <c r="N18" s="2"/>
      <c r="O18" s="29" t="s">
        <v>15</v>
      </c>
      <c r="P18" s="28" t="s">
        <v>16</v>
      </c>
      <c r="Q18" s="29" t="s">
        <v>13</v>
      </c>
      <c r="R18" s="29" t="s">
        <v>14</v>
      </c>
      <c r="S18" s="2"/>
      <c r="T18" s="2"/>
      <c r="U18" s="2"/>
      <c r="V18" s="2"/>
      <c r="W18" s="2"/>
      <c r="X18" s="2"/>
      <c r="Y18" s="2"/>
      <c r="Z18" s="2"/>
    </row>
    <row r="19" ht="18.0" customHeight="1">
      <c r="A19" s="35" t="s">
        <v>18</v>
      </c>
      <c r="B19" s="36">
        <f>B8</f>
        <v>60000</v>
      </c>
      <c r="C19" s="36">
        <f>B8</f>
        <v>60000</v>
      </c>
      <c r="D19" s="2"/>
      <c r="E19" s="37" t="s">
        <v>19</v>
      </c>
      <c r="F19" s="38">
        <v>5.0</v>
      </c>
      <c r="G19" s="39">
        <v>15000.0</v>
      </c>
      <c r="H19" s="39">
        <v>15000.0</v>
      </c>
      <c r="I19" s="2"/>
      <c r="J19" s="40" t="s">
        <v>20</v>
      </c>
      <c r="K19" s="41">
        <v>6000.0</v>
      </c>
      <c r="L19" s="41">
        <v>6500.0</v>
      </c>
      <c r="M19" s="42">
        <f t="shared" ref="M19:M30" si="2">IF(OR(K19="",L19=""),"",K19-L19)</f>
        <v>-500</v>
      </c>
      <c r="N19" s="2"/>
      <c r="O19" s="35" t="s">
        <v>21</v>
      </c>
      <c r="P19" s="43">
        <v>5.0</v>
      </c>
      <c r="Q19" s="44">
        <v>5000.0</v>
      </c>
      <c r="R19" s="44">
        <v>4500.0</v>
      </c>
      <c r="S19" s="2"/>
      <c r="T19" s="2"/>
      <c r="U19" s="2"/>
      <c r="V19" s="2"/>
      <c r="W19" s="2"/>
      <c r="X19" s="2"/>
      <c r="Y19" s="2"/>
      <c r="Z19" s="2"/>
    </row>
    <row r="20" ht="18.0" customHeight="1">
      <c r="A20" s="45" t="s">
        <v>22</v>
      </c>
      <c r="B20" s="46">
        <f t="shared" ref="B20:C20" si="1">B31</f>
        <v>50000</v>
      </c>
      <c r="C20" s="46">
        <f t="shared" si="1"/>
        <v>49000</v>
      </c>
      <c r="D20" s="2"/>
      <c r="E20" s="37" t="s">
        <v>23</v>
      </c>
      <c r="F20" s="38">
        <v>8.0</v>
      </c>
      <c r="G20" s="39">
        <v>2500.0</v>
      </c>
      <c r="H20" s="39">
        <v>2500.0</v>
      </c>
      <c r="I20" s="2"/>
      <c r="J20" s="47" t="s">
        <v>24</v>
      </c>
      <c r="K20" s="41">
        <v>3000.0</v>
      </c>
      <c r="L20" s="41">
        <v>2800.0</v>
      </c>
      <c r="M20" s="42">
        <f t="shared" si="2"/>
        <v>200</v>
      </c>
      <c r="N20" s="2"/>
      <c r="O20" s="35" t="s">
        <v>25</v>
      </c>
      <c r="P20" s="43">
        <v>8.0</v>
      </c>
      <c r="Q20" s="44">
        <v>8000.0</v>
      </c>
      <c r="R20" s="44">
        <v>8000.0</v>
      </c>
      <c r="S20" s="2"/>
      <c r="T20" s="2"/>
      <c r="U20" s="2"/>
      <c r="V20" s="2"/>
      <c r="W20" s="2"/>
      <c r="X20" s="2"/>
      <c r="Y20" s="2"/>
      <c r="Z20" s="2"/>
    </row>
    <row r="21" ht="18.0" customHeight="1">
      <c r="A21" s="48" t="s">
        <v>26</v>
      </c>
      <c r="B21" s="46">
        <f t="shared" ref="B21:C21" si="3">G31</f>
        <v>23000</v>
      </c>
      <c r="C21" s="46">
        <f t="shared" si="3"/>
        <v>22900</v>
      </c>
      <c r="D21" s="2"/>
      <c r="E21" s="37" t="s">
        <v>27</v>
      </c>
      <c r="F21" s="38">
        <v>3.0</v>
      </c>
      <c r="G21" s="39">
        <v>1000.0</v>
      </c>
      <c r="H21" s="49">
        <v>1000.0</v>
      </c>
      <c r="I21" s="2"/>
      <c r="J21" s="47" t="s">
        <v>28</v>
      </c>
      <c r="K21" s="50">
        <v>4000.0</v>
      </c>
      <c r="L21" s="51">
        <v>5000.0</v>
      </c>
      <c r="M21" s="42">
        <f t="shared" si="2"/>
        <v>-1000</v>
      </c>
      <c r="N21" s="2"/>
      <c r="O21" s="35" t="s">
        <v>29</v>
      </c>
      <c r="P21" s="43">
        <v>12.0</v>
      </c>
      <c r="Q21" s="44">
        <v>6000.0</v>
      </c>
      <c r="R21" s="44">
        <v>6000.0</v>
      </c>
      <c r="S21" s="2"/>
      <c r="T21" s="2"/>
      <c r="U21" s="2"/>
      <c r="V21" s="2"/>
      <c r="W21" s="2"/>
      <c r="X21" s="2"/>
      <c r="Y21" s="2"/>
      <c r="Z21" s="2"/>
    </row>
    <row r="22" ht="18.0" customHeight="1">
      <c r="A22" s="35" t="s">
        <v>30</v>
      </c>
      <c r="B22" s="46">
        <f t="shared" ref="B22:C22" si="4">K31</f>
        <v>21000</v>
      </c>
      <c r="C22" s="46">
        <f t="shared" si="4"/>
        <v>21000</v>
      </c>
      <c r="D22" s="2"/>
      <c r="E22" s="37" t="s">
        <v>31</v>
      </c>
      <c r="F22" s="38">
        <v>14.0</v>
      </c>
      <c r="G22" s="39">
        <v>800.0</v>
      </c>
      <c r="H22" s="39">
        <v>750.0</v>
      </c>
      <c r="I22" s="2"/>
      <c r="J22" s="47" t="s">
        <v>32</v>
      </c>
      <c r="K22" s="41">
        <v>2500.0</v>
      </c>
      <c r="L22" s="41">
        <v>2000.0</v>
      </c>
      <c r="M22" s="42">
        <f t="shared" si="2"/>
        <v>500</v>
      </c>
      <c r="N22" s="2"/>
      <c r="O22" s="35" t="s">
        <v>33</v>
      </c>
      <c r="P22" s="43">
        <v>25.0</v>
      </c>
      <c r="Q22" s="44">
        <v>3000.0</v>
      </c>
      <c r="R22" s="44">
        <v>2500.0</v>
      </c>
      <c r="S22" s="2"/>
      <c r="T22" s="2"/>
      <c r="U22" s="2"/>
      <c r="V22" s="2"/>
      <c r="W22" s="2"/>
      <c r="X22" s="2"/>
      <c r="Y22" s="2"/>
      <c r="Z22" s="2"/>
    </row>
    <row r="23" ht="18.0" customHeight="1">
      <c r="A23" s="35" t="s">
        <v>34</v>
      </c>
      <c r="B23" s="46">
        <f>Q31+B38</f>
        <v>37000</v>
      </c>
      <c r="C23" s="46">
        <f>C38+R31</f>
        <v>34000</v>
      </c>
      <c r="D23" s="2"/>
      <c r="E23" s="37" t="s">
        <v>35</v>
      </c>
      <c r="F23" s="38">
        <v>2.0</v>
      </c>
      <c r="G23" s="39">
        <v>700.0</v>
      </c>
      <c r="H23" s="39">
        <v>650.0</v>
      </c>
      <c r="I23" s="2"/>
      <c r="J23" s="47" t="s">
        <v>36</v>
      </c>
      <c r="K23" s="41">
        <v>3500.0</v>
      </c>
      <c r="L23" s="41">
        <v>3200.0</v>
      </c>
      <c r="M23" s="42">
        <f t="shared" si="2"/>
        <v>300</v>
      </c>
      <c r="N23" s="2"/>
      <c r="O23" s="35" t="s">
        <v>37</v>
      </c>
      <c r="P23" s="43">
        <v>30.0</v>
      </c>
      <c r="Q23" s="44">
        <v>4000.0</v>
      </c>
      <c r="R23" s="44">
        <v>4000.0</v>
      </c>
      <c r="S23" s="2"/>
      <c r="T23" s="2"/>
      <c r="U23" s="2"/>
      <c r="V23" s="2"/>
      <c r="W23" s="2"/>
      <c r="X23" s="2"/>
      <c r="Y23" s="2"/>
      <c r="Z23" s="2"/>
    </row>
    <row r="24" ht="18.0" customHeight="1">
      <c r="A24" s="52" t="s">
        <v>17</v>
      </c>
      <c r="B24" s="53">
        <f t="shared" ref="B24:C24" si="5">B19+B20-B21-B22-B23</f>
        <v>29000</v>
      </c>
      <c r="C24" s="53">
        <f t="shared" si="5"/>
        <v>31100</v>
      </c>
      <c r="D24" s="2"/>
      <c r="E24" s="54" t="s">
        <v>38</v>
      </c>
      <c r="F24" s="38">
        <v>29.0</v>
      </c>
      <c r="G24" s="39">
        <v>3000.0</v>
      </c>
      <c r="H24" s="39">
        <v>3000.0</v>
      </c>
      <c r="I24" s="2"/>
      <c r="J24" s="47" t="s">
        <v>39</v>
      </c>
      <c r="K24" s="41">
        <v>2000.0</v>
      </c>
      <c r="L24" s="41">
        <v>1500.0</v>
      </c>
      <c r="M24" s="42">
        <f t="shared" si="2"/>
        <v>500</v>
      </c>
      <c r="N24" s="2"/>
      <c r="O24" s="27"/>
      <c r="P24" s="27"/>
      <c r="Q24" s="46"/>
      <c r="R24" s="46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55"/>
      <c r="F25" s="56"/>
      <c r="G25" s="57"/>
      <c r="H25" s="57"/>
      <c r="I25" s="2"/>
      <c r="J25" s="58"/>
      <c r="K25" s="42"/>
      <c r="L25" s="42"/>
      <c r="M25" s="42" t="str">
        <f t="shared" si="2"/>
        <v/>
      </c>
      <c r="N25" s="2"/>
      <c r="O25" s="27"/>
      <c r="P25" s="27"/>
      <c r="Q25" s="46"/>
      <c r="R25" s="46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55"/>
      <c r="F26" s="56"/>
      <c r="G26" s="57"/>
      <c r="H26" s="57"/>
      <c r="I26" s="2"/>
      <c r="J26" s="59"/>
      <c r="K26" s="42"/>
      <c r="L26" s="42"/>
      <c r="M26" s="42" t="str">
        <f t="shared" si="2"/>
        <v/>
      </c>
      <c r="N26" s="2"/>
      <c r="O26" s="27"/>
      <c r="P26" s="27"/>
      <c r="Q26" s="46"/>
      <c r="R26" s="46"/>
      <c r="S26" s="2"/>
      <c r="T26" s="2"/>
      <c r="U26" s="2"/>
      <c r="V26" s="2"/>
      <c r="W26" s="2"/>
      <c r="X26" s="2"/>
      <c r="Y26" s="2"/>
      <c r="Z26" s="2"/>
    </row>
    <row r="27" ht="27.0" customHeight="1">
      <c r="A27" s="60" t="s">
        <v>40</v>
      </c>
      <c r="B27" s="9"/>
      <c r="C27" s="10"/>
      <c r="D27" s="2"/>
      <c r="E27" s="55"/>
      <c r="F27" s="56"/>
      <c r="G27" s="57"/>
      <c r="H27" s="57"/>
      <c r="I27" s="2"/>
      <c r="J27" s="59"/>
      <c r="K27" s="42"/>
      <c r="L27" s="42"/>
      <c r="M27" s="42" t="str">
        <f t="shared" si="2"/>
        <v/>
      </c>
      <c r="N27" s="2"/>
      <c r="O27" s="27"/>
      <c r="P27" s="27"/>
      <c r="Q27" s="46"/>
      <c r="R27" s="46"/>
      <c r="S27" s="2"/>
      <c r="T27" s="2"/>
      <c r="U27" s="2"/>
      <c r="V27" s="2"/>
      <c r="W27" s="2"/>
      <c r="X27" s="2"/>
      <c r="Y27" s="2"/>
      <c r="Z27" s="2"/>
    </row>
    <row r="28" ht="18.0" customHeight="1">
      <c r="A28" s="61" t="s">
        <v>15</v>
      </c>
      <c r="B28" s="61" t="s">
        <v>13</v>
      </c>
      <c r="C28" s="61" t="s">
        <v>14</v>
      </c>
      <c r="D28" s="2"/>
      <c r="E28" s="55"/>
      <c r="F28" s="56"/>
      <c r="G28" s="57"/>
      <c r="H28" s="57"/>
      <c r="I28" s="2"/>
      <c r="J28" s="59"/>
      <c r="K28" s="42"/>
      <c r="L28" s="42"/>
      <c r="M28" s="42" t="str">
        <f t="shared" si="2"/>
        <v/>
      </c>
      <c r="N28" s="2"/>
      <c r="O28" s="27"/>
      <c r="P28" s="27"/>
      <c r="Q28" s="46"/>
      <c r="R28" s="46"/>
      <c r="S28" s="2"/>
      <c r="T28" s="2"/>
      <c r="U28" s="2"/>
      <c r="V28" s="2"/>
      <c r="W28" s="2"/>
      <c r="X28" s="2"/>
      <c r="Y28" s="2"/>
      <c r="Z28" s="2"/>
    </row>
    <row r="29" ht="18.0" customHeight="1">
      <c r="A29" s="62" t="s">
        <v>41</v>
      </c>
      <c r="B29" s="63">
        <v>45000.0</v>
      </c>
      <c r="C29" s="63">
        <v>45000.0</v>
      </c>
      <c r="D29" s="2"/>
      <c r="E29" s="55"/>
      <c r="F29" s="56"/>
      <c r="G29" s="57"/>
      <c r="H29" s="57"/>
      <c r="I29" s="2"/>
      <c r="J29" s="59"/>
      <c r="K29" s="42"/>
      <c r="L29" s="42"/>
      <c r="M29" s="42" t="str">
        <f t="shared" si="2"/>
        <v/>
      </c>
      <c r="N29" s="2"/>
      <c r="O29" s="27"/>
      <c r="P29" s="27"/>
      <c r="Q29" s="46"/>
      <c r="R29" s="46"/>
      <c r="S29" s="2"/>
      <c r="T29" s="2"/>
      <c r="U29" s="2"/>
      <c r="V29" s="2"/>
      <c r="W29" s="2"/>
      <c r="X29" s="2"/>
      <c r="Y29" s="2"/>
      <c r="Z29" s="2"/>
    </row>
    <row r="30" ht="18.0" customHeight="1">
      <c r="A30" s="62" t="s">
        <v>42</v>
      </c>
      <c r="B30" s="64">
        <v>5000.0</v>
      </c>
      <c r="C30" s="65">
        <v>4000.0</v>
      </c>
      <c r="D30" s="2"/>
      <c r="E30" s="55"/>
      <c r="F30" s="56"/>
      <c r="G30" s="57"/>
      <c r="H30" s="57"/>
      <c r="I30" s="2"/>
      <c r="J30" s="59"/>
      <c r="K30" s="42"/>
      <c r="L30" s="42"/>
      <c r="M30" s="42" t="str">
        <f t="shared" si="2"/>
        <v/>
      </c>
      <c r="N30" s="2"/>
      <c r="O30" s="27"/>
      <c r="P30" s="27"/>
      <c r="Q30" s="46"/>
      <c r="R30" s="46"/>
      <c r="S30" s="2"/>
      <c r="T30" s="2"/>
      <c r="U30" s="2"/>
      <c r="V30" s="2"/>
      <c r="W30" s="2"/>
      <c r="X30" s="2"/>
      <c r="Y30" s="2"/>
      <c r="Z30" s="2"/>
    </row>
    <row r="31" ht="18.0" customHeight="1">
      <c r="A31" s="66" t="s">
        <v>43</v>
      </c>
      <c r="B31" s="67">
        <f t="shared" ref="B31:C31" si="6">SUM(B29:B30)</f>
        <v>50000</v>
      </c>
      <c r="C31" s="67">
        <f t="shared" si="6"/>
        <v>49000</v>
      </c>
      <c r="D31" s="2"/>
      <c r="E31" s="68" t="s">
        <v>43</v>
      </c>
      <c r="F31" s="69"/>
      <c r="G31" s="70">
        <f t="shared" ref="G31:H31" si="7">SUM(G19:G30)</f>
        <v>23000</v>
      </c>
      <c r="H31" s="70">
        <f t="shared" si="7"/>
        <v>22900</v>
      </c>
      <c r="I31" s="2"/>
      <c r="J31" s="71" t="s">
        <v>43</v>
      </c>
      <c r="K31" s="72">
        <f t="shared" ref="K31:M31" si="8">SUM(K19:K30)</f>
        <v>21000</v>
      </c>
      <c r="L31" s="72">
        <f t="shared" si="8"/>
        <v>21000</v>
      </c>
      <c r="M31" s="72">
        <f t="shared" si="8"/>
        <v>0</v>
      </c>
      <c r="N31" s="2"/>
      <c r="O31" s="73" t="s">
        <v>43</v>
      </c>
      <c r="P31" s="74"/>
      <c r="Q31" s="75">
        <f t="shared" ref="Q31:R31" si="9">SUM(Q19:Q30)</f>
        <v>26000</v>
      </c>
      <c r="R31" s="75">
        <f t="shared" si="9"/>
        <v>25000</v>
      </c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6" t="s">
        <v>44</v>
      </c>
      <c r="B34" s="9"/>
      <c r="C34" s="1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77" t="s">
        <v>15</v>
      </c>
      <c r="B35" s="77" t="s">
        <v>13</v>
      </c>
      <c r="C35" s="78" t="s">
        <v>14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9" t="s">
        <v>45</v>
      </c>
      <c r="B36" s="80">
        <v>8000.0</v>
      </c>
      <c r="C36" s="80">
        <v>7000.0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79" t="s">
        <v>46</v>
      </c>
      <c r="B37" s="80">
        <v>3000.0</v>
      </c>
      <c r="C37" s="81">
        <v>2000.0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82" t="s">
        <v>43</v>
      </c>
      <c r="B38" s="83">
        <f t="shared" ref="B38:C38" si="10">SUM(B36:B37)</f>
        <v>11000</v>
      </c>
      <c r="C38" s="83">
        <f t="shared" si="10"/>
        <v>9000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84" t="s">
        <v>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2"/>
      <c r="O41" s="85" t="s">
        <v>48</v>
      </c>
      <c r="P41" s="4"/>
      <c r="Q41" s="4"/>
      <c r="R41" s="5"/>
      <c r="S41" s="2"/>
      <c r="T41" s="2"/>
      <c r="U41" s="2"/>
      <c r="V41" s="2"/>
      <c r="W41" s="2"/>
      <c r="X41" s="2"/>
      <c r="Y41" s="2"/>
      <c r="Z41" s="2"/>
    </row>
    <row r="42" ht="18.0" customHeight="1">
      <c r="A42" s="86" t="s">
        <v>49</v>
      </c>
      <c r="B42" s="87" t="s">
        <v>50</v>
      </c>
      <c r="C42" s="87" t="s">
        <v>15</v>
      </c>
      <c r="D42" s="88" t="s">
        <v>51</v>
      </c>
      <c r="E42" s="87" t="s">
        <v>52</v>
      </c>
      <c r="F42" s="89"/>
      <c r="G42" s="89"/>
      <c r="H42" s="89"/>
      <c r="I42" s="89"/>
      <c r="J42" s="89"/>
      <c r="K42" s="89"/>
      <c r="L42" s="89"/>
      <c r="M42" s="90"/>
      <c r="N42" s="2"/>
      <c r="O42" s="6"/>
      <c r="R42" s="7"/>
      <c r="S42" s="2"/>
      <c r="T42" s="2"/>
      <c r="U42" s="2"/>
      <c r="V42" s="2"/>
      <c r="W42" s="2"/>
      <c r="X42" s="2"/>
      <c r="Y42" s="2"/>
      <c r="Z42" s="2"/>
    </row>
    <row r="43" ht="18.0" customHeight="1">
      <c r="A43" s="91">
        <v>46024.0</v>
      </c>
      <c r="B43" s="92">
        <v>2500.0</v>
      </c>
      <c r="C43" s="93" t="s">
        <v>20</v>
      </c>
      <c r="D43" s="93" t="s">
        <v>53</v>
      </c>
      <c r="E43" s="93" t="s">
        <v>54</v>
      </c>
      <c r="F43" s="94"/>
      <c r="G43" s="94"/>
      <c r="H43" s="94"/>
      <c r="I43" s="94"/>
      <c r="J43" s="94"/>
      <c r="K43" s="94"/>
      <c r="L43" s="94"/>
      <c r="M43" s="95"/>
      <c r="N43" s="2"/>
      <c r="O43" s="6"/>
      <c r="R43" s="7"/>
      <c r="S43" s="2"/>
      <c r="T43" s="2"/>
      <c r="U43" s="2"/>
      <c r="V43" s="2"/>
      <c r="W43" s="2"/>
      <c r="X43" s="2"/>
      <c r="Y43" s="2"/>
      <c r="Z43" s="2"/>
    </row>
    <row r="44" ht="18.0" customHeight="1">
      <c r="A44" s="91">
        <v>46027.0</v>
      </c>
      <c r="B44" s="92">
        <v>15000.0</v>
      </c>
      <c r="C44" s="93" t="s">
        <v>26</v>
      </c>
      <c r="D44" s="93" t="s">
        <v>55</v>
      </c>
      <c r="E44" s="93" t="s">
        <v>19</v>
      </c>
      <c r="F44" s="96"/>
      <c r="G44" s="96"/>
      <c r="H44" s="96"/>
      <c r="I44" s="96"/>
      <c r="J44" s="96"/>
      <c r="K44" s="96"/>
      <c r="L44" s="96"/>
      <c r="M44" s="97"/>
      <c r="N44" s="2"/>
      <c r="O44" s="6"/>
      <c r="R44" s="7"/>
      <c r="S44" s="2"/>
      <c r="T44" s="2"/>
      <c r="U44" s="2"/>
      <c r="V44" s="2"/>
      <c r="W44" s="2"/>
      <c r="X44" s="2"/>
      <c r="Y44" s="2"/>
      <c r="Z44" s="2"/>
    </row>
    <row r="45" ht="18.0" customHeight="1">
      <c r="A45" s="91">
        <v>46030.0</v>
      </c>
      <c r="B45" s="92">
        <v>1200.0</v>
      </c>
      <c r="C45" s="93" t="s">
        <v>24</v>
      </c>
      <c r="D45" s="93" t="s">
        <v>56</v>
      </c>
      <c r="E45" s="93" t="s">
        <v>36</v>
      </c>
      <c r="F45" s="96"/>
      <c r="G45" s="96"/>
      <c r="H45" s="96"/>
      <c r="I45" s="96"/>
      <c r="J45" s="96"/>
      <c r="K45" s="96"/>
      <c r="L45" s="96"/>
      <c r="M45" s="97"/>
      <c r="N45" s="2"/>
      <c r="O45" s="6"/>
      <c r="R45" s="7"/>
      <c r="S45" s="2"/>
      <c r="T45" s="2"/>
      <c r="U45" s="2"/>
      <c r="V45" s="2"/>
      <c r="W45" s="2"/>
      <c r="X45" s="2"/>
      <c r="Y45" s="2"/>
      <c r="Z45" s="2"/>
    </row>
    <row r="46" ht="18.0" customHeight="1">
      <c r="A46" s="98">
        <v>46034.0</v>
      </c>
      <c r="B46" s="92">
        <v>300.0</v>
      </c>
      <c r="C46" s="93" t="s">
        <v>57</v>
      </c>
      <c r="D46" s="93" t="s">
        <v>58</v>
      </c>
      <c r="E46" s="93" t="s">
        <v>59</v>
      </c>
      <c r="F46" s="96"/>
      <c r="G46" s="96"/>
      <c r="H46" s="96"/>
      <c r="I46" s="96"/>
      <c r="J46" s="96"/>
      <c r="K46" s="96"/>
      <c r="L46" s="96"/>
      <c r="M46" s="97"/>
      <c r="N46" s="2"/>
      <c r="O46" s="19"/>
      <c r="P46" s="20"/>
      <c r="Q46" s="20"/>
      <c r="R46" s="21"/>
      <c r="S46" s="2"/>
      <c r="T46" s="2"/>
      <c r="U46" s="2"/>
      <c r="V46" s="2"/>
      <c r="W46" s="2"/>
      <c r="X46" s="2"/>
      <c r="Y46" s="2"/>
      <c r="Z46" s="2"/>
    </row>
    <row r="47" ht="18.0" customHeight="1">
      <c r="A47" s="98">
        <v>46034.0</v>
      </c>
      <c r="B47" s="92">
        <v>800.0</v>
      </c>
      <c r="C47" s="93" t="s">
        <v>60</v>
      </c>
      <c r="D47" s="93" t="s">
        <v>58</v>
      </c>
      <c r="E47" s="93" t="s">
        <v>61</v>
      </c>
      <c r="F47" s="96"/>
      <c r="G47" s="96"/>
      <c r="H47" s="96"/>
      <c r="I47" s="96"/>
      <c r="J47" s="96"/>
      <c r="K47" s="96"/>
      <c r="L47" s="96"/>
      <c r="M47" s="9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99"/>
      <c r="B48" s="99"/>
      <c r="C48" s="99"/>
      <c r="D48" s="99"/>
      <c r="E48" s="99"/>
      <c r="F48" s="96"/>
      <c r="G48" s="96"/>
      <c r="H48" s="96"/>
      <c r="I48" s="96"/>
      <c r="J48" s="96"/>
      <c r="K48" s="96"/>
      <c r="L48" s="96"/>
      <c r="M48" s="97"/>
      <c r="N48" s="2"/>
      <c r="O48" s="23" t="s">
        <v>62</v>
      </c>
      <c r="P48" s="9"/>
      <c r="Q48" s="9"/>
      <c r="R48" s="10"/>
      <c r="S48" s="2"/>
      <c r="T48" s="2"/>
      <c r="U48" s="2"/>
      <c r="V48" s="2"/>
      <c r="W48" s="2"/>
      <c r="X48" s="2"/>
      <c r="Y48" s="2"/>
      <c r="Z48" s="2"/>
    </row>
    <row r="49" ht="18.0" customHeight="1">
      <c r="A49" s="99"/>
      <c r="B49" s="99"/>
      <c r="C49" s="99"/>
      <c r="D49" s="99"/>
      <c r="E49" s="99"/>
      <c r="F49" s="96"/>
      <c r="G49" s="96"/>
      <c r="H49" s="96"/>
      <c r="I49" s="96"/>
      <c r="J49" s="96"/>
      <c r="K49" s="96"/>
      <c r="L49" s="96"/>
      <c r="M49" s="97"/>
      <c r="N49" s="2"/>
      <c r="O49" s="29" t="s">
        <v>15</v>
      </c>
      <c r="P49" s="29" t="s">
        <v>50</v>
      </c>
      <c r="Q49" s="100"/>
      <c r="R49" s="101" t="s">
        <v>63</v>
      </c>
      <c r="S49" s="2"/>
      <c r="T49" s="2"/>
      <c r="U49" s="2"/>
      <c r="V49" s="2"/>
      <c r="W49" s="2"/>
      <c r="X49" s="2"/>
      <c r="Y49" s="2"/>
      <c r="Z49" s="2"/>
    </row>
    <row r="50" ht="18.0" customHeight="1">
      <c r="A50" s="99"/>
      <c r="B50" s="99"/>
      <c r="C50" s="99"/>
      <c r="D50" s="99"/>
      <c r="E50" s="99"/>
      <c r="F50" s="96"/>
      <c r="G50" s="96"/>
      <c r="H50" s="96"/>
      <c r="I50" s="96"/>
      <c r="J50" s="96"/>
      <c r="K50" s="96"/>
      <c r="L50" s="96"/>
      <c r="M50" s="97"/>
      <c r="N50" s="2"/>
      <c r="O50" s="35" t="s">
        <v>26</v>
      </c>
      <c r="P50" s="102">
        <f>H31</f>
        <v>22900</v>
      </c>
      <c r="Q50" s="43"/>
      <c r="R50" s="103">
        <f t="shared" ref="R50:R52" si="11">P50/$P$53</f>
        <v>0.7111801242</v>
      </c>
      <c r="S50" s="2"/>
      <c r="T50" s="2"/>
      <c r="U50" s="2"/>
      <c r="V50" s="2"/>
      <c r="W50" s="2"/>
      <c r="X50" s="2"/>
      <c r="Y50" s="2"/>
      <c r="Z50" s="2"/>
    </row>
    <row r="51" ht="18.0" customHeight="1">
      <c r="A51" s="99"/>
      <c r="B51" s="99"/>
      <c r="C51" s="99"/>
      <c r="D51" s="99"/>
      <c r="E51" s="99"/>
      <c r="F51" s="96"/>
      <c r="G51" s="96"/>
      <c r="H51" s="96"/>
      <c r="I51" s="96"/>
      <c r="J51" s="96"/>
      <c r="K51" s="96"/>
      <c r="L51" s="96"/>
      <c r="M51" s="97"/>
      <c r="N51" s="2"/>
      <c r="O51" s="35" t="s">
        <v>20</v>
      </c>
      <c r="P51" s="104">
        <f t="shared" ref="P51:P52" si="12">L19</f>
        <v>6500</v>
      </c>
      <c r="Q51" s="105"/>
      <c r="R51" s="103">
        <f t="shared" si="11"/>
        <v>0.201863354</v>
      </c>
      <c r="S51" s="2"/>
      <c r="T51" s="2"/>
      <c r="U51" s="2"/>
      <c r="V51" s="2"/>
      <c r="W51" s="2"/>
      <c r="X51" s="2"/>
      <c r="Y51" s="2"/>
      <c r="Z51" s="2"/>
    </row>
    <row r="52" ht="18.0" customHeight="1">
      <c r="A52" s="99"/>
      <c r="B52" s="99"/>
      <c r="C52" s="99"/>
      <c r="D52" s="99"/>
      <c r="E52" s="99"/>
      <c r="F52" s="96"/>
      <c r="G52" s="96"/>
      <c r="H52" s="96"/>
      <c r="I52" s="96"/>
      <c r="J52" s="96"/>
      <c r="K52" s="96"/>
      <c r="L52" s="96"/>
      <c r="M52" s="97"/>
      <c r="N52" s="2"/>
      <c r="O52" s="35" t="s">
        <v>24</v>
      </c>
      <c r="P52" s="106">
        <f t="shared" si="12"/>
        <v>2800</v>
      </c>
      <c r="Q52" s="27"/>
      <c r="R52" s="103">
        <f t="shared" si="11"/>
        <v>0.08695652174</v>
      </c>
      <c r="S52" s="2"/>
      <c r="T52" s="2"/>
      <c r="U52" s="2"/>
      <c r="V52" s="2"/>
      <c r="W52" s="2"/>
      <c r="X52" s="2"/>
      <c r="Y52" s="2"/>
      <c r="Z52" s="2"/>
    </row>
    <row r="53" ht="18.0" customHeight="1">
      <c r="A53" s="99"/>
      <c r="B53" s="99"/>
      <c r="C53" s="99"/>
      <c r="D53" s="99"/>
      <c r="E53" s="99"/>
      <c r="F53" s="107"/>
      <c r="G53" s="107"/>
      <c r="H53" s="107"/>
      <c r="I53" s="107"/>
      <c r="J53" s="107"/>
      <c r="K53" s="107"/>
      <c r="L53" s="107"/>
      <c r="M53" s="108"/>
      <c r="N53" s="2"/>
      <c r="O53" s="109" t="s">
        <v>43</v>
      </c>
      <c r="P53" s="110">
        <f>SUM(P50:P52)</f>
        <v>32200</v>
      </c>
      <c r="Q53" s="111"/>
      <c r="R53" s="112">
        <f>SUM(R50:R52)</f>
        <v>1</v>
      </c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13" t="s">
        <v>15</v>
      </c>
      <c r="N65" s="113" t="s">
        <v>13</v>
      </c>
      <c r="O65" s="113" t="s">
        <v>14</v>
      </c>
      <c r="P65" s="2"/>
      <c r="Q65" s="114" t="s">
        <v>15</v>
      </c>
      <c r="R65" s="114" t="s">
        <v>50</v>
      </c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113" t="s">
        <v>17</v>
      </c>
      <c r="I66" s="115">
        <f>C24</f>
        <v>31100</v>
      </c>
      <c r="J66" s="2"/>
      <c r="K66" s="2"/>
      <c r="L66" s="2"/>
      <c r="M66" s="116" t="s">
        <v>64</v>
      </c>
      <c r="N66" s="117">
        <v>50000.0</v>
      </c>
      <c r="O66" s="117">
        <v>49000.0</v>
      </c>
      <c r="P66" s="2"/>
      <c r="Q66" s="116" t="s">
        <v>26</v>
      </c>
      <c r="R66" s="118">
        <f>H31</f>
        <v>22900</v>
      </c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113" t="s">
        <v>65</v>
      </c>
      <c r="I67" s="115">
        <f>C31+B8-C24</f>
        <v>77900</v>
      </c>
      <c r="J67" s="2"/>
      <c r="K67" s="2"/>
      <c r="L67" s="2"/>
      <c r="M67" s="116" t="s">
        <v>26</v>
      </c>
      <c r="N67" s="117">
        <v>23000.0</v>
      </c>
      <c r="O67" s="117">
        <v>22900.0</v>
      </c>
      <c r="P67" s="2"/>
      <c r="Q67" s="116" t="s">
        <v>30</v>
      </c>
      <c r="R67" s="118">
        <f>L31</f>
        <v>21000</v>
      </c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16" t="s">
        <v>30</v>
      </c>
      <c r="N68" s="117">
        <v>21000.0</v>
      </c>
      <c r="O68" s="117">
        <v>21000.0</v>
      </c>
      <c r="P68" s="2"/>
      <c r="Q68" s="116" t="s">
        <v>66</v>
      </c>
      <c r="R68" s="118">
        <f>R31</f>
        <v>25000</v>
      </c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16" t="s">
        <v>66</v>
      </c>
      <c r="N69" s="117">
        <v>37000.0</v>
      </c>
      <c r="O69" s="117">
        <v>34000.0</v>
      </c>
      <c r="P69" s="2"/>
      <c r="Q69" s="116" t="s">
        <v>67</v>
      </c>
      <c r="R69" s="118">
        <f>C38</f>
        <v>9000</v>
      </c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16" t="s">
        <v>67</v>
      </c>
      <c r="N70" s="117">
        <v>11000.0</v>
      </c>
      <c r="O70" s="117">
        <v>31100.0</v>
      </c>
      <c r="P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3" t="s">
        <v>62</v>
      </c>
      <c r="E77" s="9"/>
      <c r="F77" s="9"/>
      <c r="G77" s="1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119" t="s">
        <v>15</v>
      </c>
      <c r="E78" s="119" t="s">
        <v>50</v>
      </c>
      <c r="F78" s="120"/>
      <c r="G78" s="121" t="s">
        <v>63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122" t="s">
        <v>26</v>
      </c>
      <c r="E79" s="116">
        <v>22900.0</v>
      </c>
      <c r="F79" s="123"/>
      <c r="G79" s="124">
        <f t="shared" ref="G79:G81" si="13">E79/$P$53</f>
        <v>0.7111801242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122" t="s">
        <v>20</v>
      </c>
      <c r="E80" s="125">
        <v>6500.0</v>
      </c>
      <c r="G80" s="124">
        <f t="shared" si="13"/>
        <v>0.201863354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122" t="s">
        <v>24</v>
      </c>
      <c r="E81" s="126">
        <v>2800.0</v>
      </c>
      <c r="F81" s="127"/>
      <c r="G81" s="124">
        <f t="shared" si="13"/>
        <v>0.08695652174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119" t="s">
        <v>43</v>
      </c>
      <c r="E82" s="128">
        <f>SUM(E79:E81)</f>
        <v>32200</v>
      </c>
      <c r="F82" s="128"/>
      <c r="G82" s="129">
        <f>SUM(G79:G81)</f>
        <v>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17">
    <mergeCell ref="A1:C2"/>
    <mergeCell ref="E2:H8"/>
    <mergeCell ref="J2:M8"/>
    <mergeCell ref="O2:R8"/>
    <mergeCell ref="A4:C4"/>
    <mergeCell ref="B7:C7"/>
    <mergeCell ref="B8:C8"/>
    <mergeCell ref="O41:R46"/>
    <mergeCell ref="O48:R48"/>
    <mergeCell ref="D77:G77"/>
    <mergeCell ref="A17:C17"/>
    <mergeCell ref="E17:H17"/>
    <mergeCell ref="J17:M17"/>
    <mergeCell ref="O17:R17"/>
    <mergeCell ref="A27:C27"/>
    <mergeCell ref="A34:C34"/>
    <mergeCell ref="A41:M41"/>
  </mergeCells>
  <dataValidations>
    <dataValidation type="list" allowBlank="1" showErrorMessage="1" sqref="B7">
      <formula1>"INR,USD,AUD,EUR"</formula1>
    </dataValidation>
  </dataValidations>
  <drawing r:id="rId1"/>
</worksheet>
</file>